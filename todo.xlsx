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TODO" sheetId="1" r:id="rId5"/>
    <sheet state="visible" name=" RÉSUMÉ" sheetId="2" r:id="rId6"/>
    <sheet state="visible" name="TABLEAU CROISÉ" sheetId="3" r:id="rId7"/>
  </sheets>
  <definedNames/>
  <calcPr/>
</workbook>
</file>

<file path=xl/sharedStrings.xml><?xml version="1.0" encoding="utf-8"?>
<sst xmlns="http://schemas.openxmlformats.org/spreadsheetml/2006/main" count="323" uniqueCount="153">
  <si>
    <t>TACHE</t>
  </si>
  <si>
    <t>PAGE</t>
  </si>
  <si>
    <t>DÉTAIL</t>
  </si>
  <si>
    <t>TYPE</t>
  </si>
  <si>
    <t>QUI</t>
  </si>
  <si>
    <t>ESTIMATION (min)</t>
  </si>
  <si>
    <t>TEMPS PASSÉ (min)</t>
  </si>
  <si>
    <t>RESTE À FAIRE (min)</t>
  </si>
  <si>
    <t>AVANCEMENT</t>
  </si>
  <si>
    <t>ÉTAT</t>
  </si>
  <si>
    <t>INSCRIPTION</t>
  </si>
  <si>
    <t>users.sql</t>
  </si>
  <si>
    <t>Table users : id, nom, prenom, email, mdp, genre, taille, poids, imc, wallet, is_gold</t>
  </si>
  <si>
    <t>SQL</t>
  </si>
  <si>
    <t>Steeven</t>
  </si>
  <si>
    <t>register_step1.php</t>
  </si>
  <si>
    <t>Design HTML/CSS formulaire étape 1 : nom, prénom, email, genre</t>
  </si>
  <si>
    <t>HTML/CSS</t>
  </si>
  <si>
    <t>Validation JS côté client : champs obligatoires, format email</t>
  </si>
  <si>
    <t>JavaScript</t>
  </si>
  <si>
    <t>register_step2.php</t>
  </si>
  <si>
    <t>Design HTML/CSS formulaire étape 2 : taille (cm), poids (kg)</t>
  </si>
  <si>
    <t>Calcul et affichage IMC en temps réel (AJAX)</t>
  </si>
  <si>
    <t>JavaScript/AJAX</t>
  </si>
  <si>
    <t>AuthController.php</t>
  </si>
  <si>
    <t>Logique inscription 2 étapes : session entre pages, hash mdp, insertion BDD</t>
  </si>
  <si>
    <t>PHP/CodeIgniter</t>
  </si>
  <si>
    <t>LOGIN</t>
  </si>
  <si>
    <t>login.php</t>
  </si>
  <si>
    <t>Design page login : champs email + mot de passe + bouton</t>
  </si>
  <si>
    <t>Mihaja</t>
  </si>
  <si>
    <t>Logique login : vérif hash mdp, session CI4, logout, filtre auth</t>
  </si>
  <si>
    <t>PROFIL</t>
  </si>
  <si>
    <t>profile.php</t>
  </si>
  <si>
    <t>Design page profil : affichage + formulaire édition</t>
  </si>
  <si>
    <t>Aina</t>
  </si>
  <si>
    <t>ProfileController.php</t>
  </si>
  <si>
    <t>Mise à jour profil via AJAX + recalcul IMC</t>
  </si>
  <si>
    <t>PHP/AJAX</t>
  </si>
  <si>
    <t>OBJECTIF</t>
  </si>
  <si>
    <t>objectif.php</t>
  </si>
  <si>
    <t>Design page : 3 cartes cliquables (augmenter, réduire, IMC idéal)</t>
  </si>
  <si>
    <t>ObjectifController.php</t>
  </si>
  <si>
    <t>Sauvegarde objectif en session + base + redirection vers suggestion</t>
  </si>
  <si>
    <t>SUGGESTION</t>
  </si>
  <si>
    <t>suggestion.php</t>
  </si>
  <si>
    <t>Design page résultats : liste régimes + activités suggérés</t>
  </si>
  <si>
    <t>SuggestionController.php</t>
  </si>
  <si>
    <t>Algorithme sélection régimes selon IMC, objectif, delta_poids</t>
  </si>
  <si>
    <t>Affichage prix avec/sans remise Gold (15%)</t>
  </si>
  <si>
    <t>PHP/HTML</t>
  </si>
  <si>
    <t>EXPORT PDF</t>
  </si>
  <si>
    <t>export_pdf.php</t>
  </si>
  <si>
    <t>Intégration bibliothèque TCPDF via Composer</t>
  </si>
  <si>
    <t>PHP</t>
  </si>
  <si>
    <t>Génération PDF : résumé régime + activités + IMC utilisateur</t>
  </si>
  <si>
    <t>PORTE MONNAIE</t>
  </si>
  <si>
    <t>wallet.php</t>
  </si>
  <si>
    <t>Design page portefeuille : affichage solde + champ saisie code</t>
  </si>
  <si>
    <t>WalletController.php</t>
  </si>
  <si>
    <t>Vérification code AJAX : validation, crédit solde, marque utilisé</t>
  </si>
  <si>
    <t>codes.sql</t>
  </si>
  <si>
    <t>Table codes : id, code, montant, statut, user_id</t>
  </si>
  <si>
    <t>OPTION GOLD</t>
  </si>
  <si>
    <t>gold.php</t>
  </si>
  <si>
    <t>Design page Gold : présentation avantages, prix, bouton achat</t>
  </si>
  <si>
    <t>GoldController.php</t>
  </si>
  <si>
    <t>Logique achat Gold : vérif solde, débit wallet, activation flag is_gold</t>
  </si>
  <si>
    <t>Application automatique remise 15% si is_gold = 1</t>
  </si>
  <si>
    <t>NAVIGATION</t>
  </si>
  <si>
    <t>layout/navbar.php</t>
  </si>
  <si>
    <t>Navbar front responsive : logo, liens, état connecté/déconnecté</t>
  </si>
  <si>
    <t>layout/sidebar_bo.php</t>
  </si>
  <si>
    <t>Sidebar back-office responsive avec liens vers toutes les sections</t>
  </si>
  <si>
    <t>BO LOGIN</t>
  </si>
  <si>
    <t>bo/login.php</t>
  </si>
  <si>
    <t>Design + logique page authentification back-office, session admin</t>
  </si>
  <si>
    <t>bo/AdminController.php</t>
  </si>
  <si>
    <t>Middleware admin : vérif rôle, redirection si non autorisé</t>
  </si>
  <si>
    <t>BO DASHBOARD</t>
  </si>
  <si>
    <t>bo/dashboard.php</t>
  </si>
  <si>
    <t>Design tableau de bord : cards KPI (nb users, CA, codes validés)</t>
  </si>
  <si>
    <t>Graphe Chart.js : évolution inscriptions par mois (ligne)</t>
  </si>
  <si>
    <t>Graphe Chart.js : répartition objectifs utilisateurs (camembert)</t>
  </si>
  <si>
    <t>bo/DashboardController.php</t>
  </si>
  <si>
    <t>Requêtes SQL pour KPI et données graphes (agrégats)</t>
  </si>
  <si>
    <t>PHP/SQL</t>
  </si>
  <si>
    <t>BO RÉGIMES</t>
  </si>
  <si>
    <t>regimes.sql</t>
  </si>
  <si>
    <t>Table régimes : id, nom, pct_viande, pct_poisson, pct_volaille, duree, prix, delta_poids</t>
  </si>
  <si>
    <t>bo/regimes.php</t>
  </si>
  <si>
    <t>Liste régimes : tableau paginé avec actions éditer/supprimer</t>
  </si>
  <si>
    <t>bo/regimes_form.php</t>
  </si>
  <si>
    <t>Formulaire création/édition : nom, % viande, % poisson, % volaille, durée, prix</t>
  </si>
  <si>
    <t>bo/RegimeController.php</t>
  </si>
  <si>
    <t>CRUD complet régimes avec validation (somme % = 100)</t>
  </si>
  <si>
    <t>BO ACTIVITÉS</t>
  </si>
  <si>
    <t>activites.sql</t>
  </si>
  <si>
    <t>Table activités : id, nom, description, duree_min, calories_heure, niveau</t>
  </si>
  <si>
    <t>bo/activites.php</t>
  </si>
  <si>
    <t>Liste activités : tableau paginé avec actions éditer/supprimer</t>
  </si>
  <si>
    <t>bo/activites_form.php</t>
  </si>
  <si>
    <t>Formulaire création/édition activité sportive</t>
  </si>
  <si>
    <t>bo/ActiviteController.php</t>
  </si>
  <si>
    <t>CRUD complet activités sportives</t>
  </si>
  <si>
    <t>BO CODES</t>
  </si>
  <si>
    <t>bo/codes.php</t>
  </si>
  <si>
    <t>Liste codes : tableau statut actif/utilisé + pagination</t>
  </si>
  <si>
    <t>bo/codes_form.php</t>
  </si>
  <si>
    <t>Formulaire génération de codes : montant, quantité</t>
  </si>
  <si>
    <t>bo/CodeController.php</t>
  </si>
  <si>
    <t>CRUD codes + génération aléatoire unique + invalidation</t>
  </si>
  <si>
    <t>BO PARAMÈTRES</t>
  </si>
  <si>
    <t>parametres.sql</t>
  </si>
  <si>
    <t>Table parametres : id, cle, valeur, description</t>
  </si>
  <si>
    <t>bo/parametres.php</t>
  </si>
  <si>
    <t>Page CRUD paramètres : prix Gold, seuils IMC</t>
  </si>
  <si>
    <t>bo/ParamController.php</t>
  </si>
  <si>
    <t>Logique CRUD paramètres généraux en base</t>
  </si>
  <si>
    <t>BASE DE DONNÉES</t>
  </si>
  <si>
    <t>base.sql</t>
  </si>
  <si>
    <t>Script SQL complet : CREATE TABLE, contraintes, clés étrangères</t>
  </si>
  <si>
    <t>Données de test : 5 users, 15 codes, 5 régimes, 5 activités</t>
  </si>
  <si>
    <t>Sélection activités sportives associées + durée estimée</t>
  </si>
  <si>
    <t>TESTS &amp; LIVRAISON</t>
  </si>
  <si>
    <t>—</t>
  </si>
  <si>
    <t>Tests manuels front-office : inscription → objectif → achat → export PDF</t>
  </si>
  <si>
    <t>Tests</t>
  </si>
  <si>
    <t>Tests manuels back-office : CRUD régimes, activités, codes, stats</t>
  </si>
  <si>
    <t>README.md</t>
  </si>
  <si>
    <t>Rédaction README : installation, config BDD, identifiants de test</t>
  </si>
  <si>
    <t>Général</t>
  </si>
  <si>
    <t>gitlab</t>
  </si>
  <si>
    <t>Revue finale du code, merge branches → main, tag de version livraison</t>
  </si>
  <si>
    <t>RÉSUMÉ GLOBAL DU PROJET</t>
  </si>
  <si>
    <t>ESTIMATION TOTALE (min)</t>
  </si>
  <si>
    <t>TEMPS PASSÉ TOTAL (min)</t>
  </si>
  <si>
    <t>RESTE TOTAL (min)</t>
  </si>
  <si>
    <t>AVANCEMENT GLOBAL</t>
  </si>
  <si>
    <t>NB TÂCHES</t>
  </si>
  <si>
    <t>NB TÂCHES TERMINÉES</t>
  </si>
  <si>
    <t>SUIVI PAR PERSONNE</t>
  </si>
  <si>
    <t>PERSONNE</t>
  </si>
  <si>
    <t>RESTE (min)</t>
  </si>
  <si>
    <t>NB TERMINÉES</t>
  </si>
  <si>
    <t>TOTAL</t>
  </si>
  <si>
    <t>TABLEAU CROISÉ : ESTIMATION (min) PAR MODULE × PERSONNE</t>
  </si>
  <si>
    <t>MODULE</t>
  </si>
  <si>
    <t>TOTAL (min)</t>
  </si>
  <si>
    <t>TABLEAU CROISÉ : NB TÂCHES PAR PERSONNE × ÉTAT</t>
  </si>
  <si>
    <t>À FAIRE</t>
  </si>
  <si>
    <t>EN COURS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</si>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</sst>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rgb="FF222222"/>
      <name val="Arial"/>
    </font>
    <font>
      <b/>
      <sz val="9.0"/>
      <color rgb="FF2471B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1A7A4A"/>
      <name val="Arial"/>
    </font>
    <font>
      <b/>
      <sz val="9.0"/>
      <color rgb="FF8E24AA"/>
      <name val="Arial"/>
    </font>
    <font>
      <b/>
      <sz val="12.0"/>
      <color rgb="FFFFFFFF"/>
      <name val="Arial"/>
    </font>
    <font/>
    <font>
      <b/>
      <sz val="9.0"/>
      <color rgb="FF27AE60"/>
      <name val="Arial"/>
    </font>
    <font>
      <b/>
      <sz val="9.0"/>
      <color rgb="FFE74C3C"/>
      <name val="Arial"/>
    </font>
    <font>
      <b/>
      <sz val="9.0"/>
      <color rgb="FF2980B9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1F2D3D"/>
      <name val="Arial"/>
    </font>
    <font>
      <sz val="9.0"/>
      <color rgb="FF2471B0"/>
      <name val="Arial"/>
    </font>
    <font>
      <sz val="9.0"/>
      <color rgb="FF1A7A4A"/>
      <name val="Arial"/>
    </font>
    <font>
      <sz val="9.0"/>
      <color rgb="FF8E24A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EAF4FB"/>
        <bgColor rgb="FFEAF4FB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2C3E50"/>
        <bgColor rgb="FF2C3E5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9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0"/>
    </xf>
    <xf borderId="1" fillId="5" fontId="4" numFmtId="9" xfId="0" applyAlignment="1" applyBorder="1" applyFont="1" applyNumberForma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6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3" fontId="7" numFmtId="9" xfId="0" applyAlignment="1" applyBorder="1" applyFont="1" applyNumberFormat="1">
      <alignment horizontal="center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2" fillId="2" fontId="1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3" numFmtId="9" xfId="0" applyAlignment="1" applyBorder="1" applyFont="1" applyNumberForma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6" numFmtId="9" xfId="0" applyAlignment="1" applyBorder="1" applyFont="1" applyNumberFormat="1">
      <alignment horizontal="center" shrinkToFit="0" vertical="center" wrapText="0"/>
    </xf>
    <xf borderId="1" fillId="5" fontId="7" numFmtId="0" xfId="0" applyAlignment="1" applyBorder="1" applyFont="1">
      <alignment horizontal="center" shrinkToFit="0" vertical="center" wrapText="0"/>
    </xf>
    <xf borderId="1" fillId="5" fontId="7" numFmtId="9" xfId="0" applyAlignment="1" applyBorder="1" applyFont="1" applyNumberFormat="1">
      <alignment horizontal="center" shrinkToFit="0" vertical="center" wrapText="0"/>
    </xf>
    <xf borderId="1" fillId="7" fontId="14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0"/>
    </xf>
    <xf borderId="1" fillId="7" fontId="1" numFmtId="9" xfId="0" applyAlignment="1" applyBorder="1" applyFont="1" applyNumberFormat="1">
      <alignment horizontal="center" shrinkToFit="0" vertical="center" wrapText="0"/>
    </xf>
    <xf borderId="1" fillId="5" fontId="15" numFmtId="0" xfId="0" applyAlignment="1" applyBorder="1" applyFont="1">
      <alignment horizontal="left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5" fontId="17" numFmtId="0" xfId="0" applyAlignment="1" applyBorder="1" applyFont="1">
      <alignment horizontal="center"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5" fontId="12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1" fillId="3" fontId="16" numFmtId="0" xfId="0" applyAlignment="1" applyBorder="1" applyFont="1">
      <alignment horizontal="center" shrinkToFit="0" vertical="center" wrapText="0"/>
    </xf>
    <xf borderId="1" fillId="3" fontId="17" numFmtId="0" xfId="0" applyAlignment="1" applyBorder="1" applyFont="1">
      <alignment horizontal="center" shrinkToFit="0" vertical="center" wrapText="0"/>
    </xf>
    <xf borderId="1" fillId="3" fontId="18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3">
    <dxf>
      <font>
        <b/>
        <sz val="9.0"/>
        <color rgb="FF1A7A4A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9.0"/>
        <color rgb="FFE67E22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C0392B"/>
        <name val="Arial"/>
      </font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46.0"/>
    <col customWidth="1" min="4" max="4" width="16.0"/>
    <col customWidth="1" min="5" max="5" width="12.0"/>
    <col customWidth="1" min="6" max="6" width="16.0"/>
    <col customWidth="1" min="7" max="7" width="17.0"/>
    <col customWidth="1" min="8" max="8" width="18.0"/>
    <col customWidth="1" min="9" max="9" width="13.0"/>
    <col customWidth="1" min="10" max="10" width="11.0"/>
    <col customWidth="1" min="11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1.75" customHeight="1">
      <c r="A2" s="2" t="s">
        <v>10</v>
      </c>
      <c r="B2" s="3" t="s">
        <v>11</v>
      </c>
      <c r="C2" s="3" t="s">
        <v>12</v>
      </c>
      <c r="D2" s="2" t="s">
        <v>13</v>
      </c>
      <c r="E2" s="4" t="s">
        <v>14</v>
      </c>
      <c r="F2" s="2">
        <v>20.0</v>
      </c>
      <c r="G2" s="5">
        <v>0.0</v>
      </c>
      <c r="H2" s="6">
        <f t="shared" ref="H2:H53" si="1">MAX(0,F2-G2)</f>
        <v>20</v>
      </c>
      <c r="I2" s="7">
        <f t="shared" ref="I2:I53" si="2">IFERROR(MIN(1,G2/F2),0)</f>
        <v>0</v>
      </c>
      <c r="J2" s="8" t="str">
        <f t="shared" ref="J2:J53" si="3">IF(G2=0,"À FAIRE",IF(I2&gt;=1,"OK","EN COURS"))</f>
        <v>À FAIRE</v>
      </c>
    </row>
    <row r="3" ht="21.75" customHeight="1">
      <c r="A3" s="9" t="s">
        <v>10</v>
      </c>
      <c r="B3" s="10" t="s">
        <v>15</v>
      </c>
      <c r="C3" s="10" t="s">
        <v>16</v>
      </c>
      <c r="D3" s="9" t="s">
        <v>17</v>
      </c>
      <c r="E3" s="11" t="s">
        <v>14</v>
      </c>
      <c r="F3" s="9">
        <v>60.0</v>
      </c>
      <c r="G3" s="5">
        <v>0.0</v>
      </c>
      <c r="H3" s="12">
        <f t="shared" si="1"/>
        <v>60</v>
      </c>
      <c r="I3" s="13">
        <f t="shared" si="2"/>
        <v>0</v>
      </c>
      <c r="J3" s="14" t="str">
        <f t="shared" si="3"/>
        <v>À FAIRE</v>
      </c>
    </row>
    <row r="4" ht="21.75" customHeight="1">
      <c r="A4" s="2" t="s">
        <v>10</v>
      </c>
      <c r="B4" s="3" t="s">
        <v>15</v>
      </c>
      <c r="C4" s="3" t="s">
        <v>18</v>
      </c>
      <c r="D4" s="2" t="s">
        <v>19</v>
      </c>
      <c r="E4" s="4" t="s">
        <v>14</v>
      </c>
      <c r="F4" s="2">
        <v>40.0</v>
      </c>
      <c r="G4" s="5">
        <v>0.0</v>
      </c>
      <c r="H4" s="6">
        <f t="shared" si="1"/>
        <v>40</v>
      </c>
      <c r="I4" s="7">
        <f t="shared" si="2"/>
        <v>0</v>
      </c>
      <c r="J4" s="8" t="str">
        <f t="shared" si="3"/>
        <v>À FAIRE</v>
      </c>
    </row>
    <row r="5" ht="21.75" customHeight="1">
      <c r="A5" s="9" t="s">
        <v>10</v>
      </c>
      <c r="B5" s="10" t="s">
        <v>20</v>
      </c>
      <c r="C5" s="10" t="s">
        <v>21</v>
      </c>
      <c r="D5" s="9" t="s">
        <v>17</v>
      </c>
      <c r="E5" s="11" t="s">
        <v>14</v>
      </c>
      <c r="F5" s="9">
        <v>50.0</v>
      </c>
      <c r="G5" s="5">
        <v>0.0</v>
      </c>
      <c r="H5" s="12">
        <f t="shared" si="1"/>
        <v>50</v>
      </c>
      <c r="I5" s="13">
        <f t="shared" si="2"/>
        <v>0</v>
      </c>
      <c r="J5" s="14" t="str">
        <f t="shared" si="3"/>
        <v>À FAIRE</v>
      </c>
    </row>
    <row r="6" ht="21.75" customHeight="1">
      <c r="A6" s="2" t="s">
        <v>10</v>
      </c>
      <c r="B6" s="3" t="s">
        <v>20</v>
      </c>
      <c r="C6" s="3" t="s">
        <v>22</v>
      </c>
      <c r="D6" s="2" t="s">
        <v>23</v>
      </c>
      <c r="E6" s="4" t="s">
        <v>14</v>
      </c>
      <c r="F6" s="2">
        <v>50.0</v>
      </c>
      <c r="G6" s="5">
        <v>0.0</v>
      </c>
      <c r="H6" s="6">
        <f t="shared" si="1"/>
        <v>50</v>
      </c>
      <c r="I6" s="7">
        <f t="shared" si="2"/>
        <v>0</v>
      </c>
      <c r="J6" s="8" t="str">
        <f t="shared" si="3"/>
        <v>À FAIRE</v>
      </c>
    </row>
    <row r="7" ht="21.75" customHeight="1">
      <c r="A7" s="9" t="s">
        <v>10</v>
      </c>
      <c r="B7" s="10" t="s">
        <v>24</v>
      </c>
      <c r="C7" s="10" t="s">
        <v>25</v>
      </c>
      <c r="D7" s="9" t="s">
        <v>26</v>
      </c>
      <c r="E7" s="11" t="s">
        <v>14</v>
      </c>
      <c r="F7" s="9">
        <v>90.0</v>
      </c>
      <c r="G7" s="5">
        <v>0.0</v>
      </c>
      <c r="H7" s="12">
        <f t="shared" si="1"/>
        <v>90</v>
      </c>
      <c r="I7" s="13">
        <f t="shared" si="2"/>
        <v>0</v>
      </c>
      <c r="J7" s="14" t="str">
        <f t="shared" si="3"/>
        <v>À FAIRE</v>
      </c>
    </row>
    <row r="8" ht="21.75" customHeight="1">
      <c r="A8" s="2" t="s">
        <v>27</v>
      </c>
      <c r="B8" s="3" t="s">
        <v>28</v>
      </c>
      <c r="C8" s="3" t="s">
        <v>29</v>
      </c>
      <c r="D8" s="2" t="s">
        <v>17</v>
      </c>
      <c r="E8" s="15" t="s">
        <v>30</v>
      </c>
      <c r="F8" s="2">
        <v>40.0</v>
      </c>
      <c r="G8" s="5">
        <v>0.0</v>
      </c>
      <c r="H8" s="6">
        <f t="shared" si="1"/>
        <v>40</v>
      </c>
      <c r="I8" s="7">
        <f t="shared" si="2"/>
        <v>0</v>
      </c>
      <c r="J8" s="8" t="str">
        <f t="shared" si="3"/>
        <v>À FAIRE</v>
      </c>
    </row>
    <row r="9" ht="21.75" customHeight="1">
      <c r="A9" s="9" t="s">
        <v>27</v>
      </c>
      <c r="B9" s="10" t="s">
        <v>24</v>
      </c>
      <c r="C9" s="10" t="s">
        <v>31</v>
      </c>
      <c r="D9" s="9" t="s">
        <v>26</v>
      </c>
      <c r="E9" s="16" t="s">
        <v>30</v>
      </c>
      <c r="F9" s="9">
        <v>70.0</v>
      </c>
      <c r="G9" s="5">
        <v>0.0</v>
      </c>
      <c r="H9" s="12">
        <f t="shared" si="1"/>
        <v>70</v>
      </c>
      <c r="I9" s="13">
        <f t="shared" si="2"/>
        <v>0</v>
      </c>
      <c r="J9" s="14" t="str">
        <f t="shared" si="3"/>
        <v>À FAIRE</v>
      </c>
    </row>
    <row r="10" ht="21.75" customHeight="1">
      <c r="A10" s="2" t="s">
        <v>32</v>
      </c>
      <c r="B10" s="3" t="s">
        <v>33</v>
      </c>
      <c r="C10" s="3" t="s">
        <v>34</v>
      </c>
      <c r="D10" s="2" t="s">
        <v>17</v>
      </c>
      <c r="E10" s="17" t="s">
        <v>35</v>
      </c>
      <c r="F10" s="2">
        <v>60.0</v>
      </c>
      <c r="G10" s="5">
        <v>0.0</v>
      </c>
      <c r="H10" s="6">
        <f t="shared" si="1"/>
        <v>60</v>
      </c>
      <c r="I10" s="7">
        <f t="shared" si="2"/>
        <v>0</v>
      </c>
      <c r="J10" s="8" t="str">
        <f t="shared" si="3"/>
        <v>À FAIRE</v>
      </c>
    </row>
    <row r="11" ht="21.75" customHeight="1">
      <c r="A11" s="9" t="s">
        <v>32</v>
      </c>
      <c r="B11" s="10" t="s">
        <v>36</v>
      </c>
      <c r="C11" s="10" t="s">
        <v>37</v>
      </c>
      <c r="D11" s="9" t="s">
        <v>38</v>
      </c>
      <c r="E11" s="18" t="s">
        <v>35</v>
      </c>
      <c r="F11" s="9">
        <v>60.0</v>
      </c>
      <c r="G11" s="5">
        <v>0.0</v>
      </c>
      <c r="H11" s="12">
        <f t="shared" si="1"/>
        <v>60</v>
      </c>
      <c r="I11" s="13">
        <f t="shared" si="2"/>
        <v>0</v>
      </c>
      <c r="J11" s="14" t="str">
        <f t="shared" si="3"/>
        <v>À FAIRE</v>
      </c>
    </row>
    <row r="12" ht="21.75" customHeight="1">
      <c r="A12" s="2" t="s">
        <v>39</v>
      </c>
      <c r="B12" s="3" t="s">
        <v>40</v>
      </c>
      <c r="C12" s="3" t="s">
        <v>41</v>
      </c>
      <c r="D12" s="2" t="s">
        <v>17</v>
      </c>
      <c r="E12" s="15" t="s">
        <v>30</v>
      </c>
      <c r="F12" s="2">
        <v>55.0</v>
      </c>
      <c r="G12" s="5">
        <v>0.0</v>
      </c>
      <c r="H12" s="6">
        <f t="shared" si="1"/>
        <v>55</v>
      </c>
      <c r="I12" s="7">
        <f t="shared" si="2"/>
        <v>0</v>
      </c>
      <c r="J12" s="8" t="str">
        <f t="shared" si="3"/>
        <v>À FAIRE</v>
      </c>
    </row>
    <row r="13" ht="21.75" customHeight="1">
      <c r="A13" s="9" t="s">
        <v>39</v>
      </c>
      <c r="B13" s="10" t="s">
        <v>42</v>
      </c>
      <c r="C13" s="10" t="s">
        <v>43</v>
      </c>
      <c r="D13" s="9" t="s">
        <v>26</v>
      </c>
      <c r="E13" s="16" t="s">
        <v>30</v>
      </c>
      <c r="F13" s="9">
        <v>35.0</v>
      </c>
      <c r="G13" s="5">
        <v>0.0</v>
      </c>
      <c r="H13" s="12">
        <f t="shared" si="1"/>
        <v>35</v>
      </c>
      <c r="I13" s="13">
        <f t="shared" si="2"/>
        <v>0</v>
      </c>
      <c r="J13" s="14" t="str">
        <f t="shared" si="3"/>
        <v>À FAIRE</v>
      </c>
    </row>
    <row r="14" ht="21.75" customHeight="1">
      <c r="A14" s="2" t="s">
        <v>44</v>
      </c>
      <c r="B14" s="3" t="s">
        <v>45</v>
      </c>
      <c r="C14" s="3" t="s">
        <v>46</v>
      </c>
      <c r="D14" s="2" t="s">
        <v>17</v>
      </c>
      <c r="E14" s="17" t="s">
        <v>35</v>
      </c>
      <c r="F14" s="2">
        <v>80.0</v>
      </c>
      <c r="G14" s="5">
        <v>0.0</v>
      </c>
      <c r="H14" s="6">
        <f t="shared" si="1"/>
        <v>80</v>
      </c>
      <c r="I14" s="7">
        <f t="shared" si="2"/>
        <v>0</v>
      </c>
      <c r="J14" s="8" t="str">
        <f t="shared" si="3"/>
        <v>À FAIRE</v>
      </c>
    </row>
    <row r="15" ht="21.75" customHeight="1">
      <c r="A15" s="9" t="s">
        <v>44</v>
      </c>
      <c r="B15" s="10" t="s">
        <v>47</v>
      </c>
      <c r="C15" s="10" t="s">
        <v>48</v>
      </c>
      <c r="D15" s="9" t="s">
        <v>26</v>
      </c>
      <c r="E15" s="18" t="s">
        <v>35</v>
      </c>
      <c r="F15" s="9">
        <v>120.0</v>
      </c>
      <c r="G15" s="5">
        <v>0.0</v>
      </c>
      <c r="H15" s="12">
        <f t="shared" si="1"/>
        <v>120</v>
      </c>
      <c r="I15" s="13">
        <f t="shared" si="2"/>
        <v>0</v>
      </c>
      <c r="J15" s="14" t="str">
        <f t="shared" si="3"/>
        <v>À FAIRE</v>
      </c>
    </row>
    <row r="16" ht="21.75" customHeight="1">
      <c r="A16" s="2" t="s">
        <v>44</v>
      </c>
      <c r="B16" s="3" t="s">
        <v>45</v>
      </c>
      <c r="C16" s="3" t="s">
        <v>49</v>
      </c>
      <c r="D16" s="2" t="s">
        <v>50</v>
      </c>
      <c r="E16" s="17" t="s">
        <v>35</v>
      </c>
      <c r="F16" s="2">
        <v>40.0</v>
      </c>
      <c r="G16" s="5">
        <v>0.0</v>
      </c>
      <c r="H16" s="6">
        <f t="shared" si="1"/>
        <v>40</v>
      </c>
      <c r="I16" s="7">
        <f t="shared" si="2"/>
        <v>0</v>
      </c>
      <c r="J16" s="8" t="str">
        <f t="shared" si="3"/>
        <v>À FAIRE</v>
      </c>
    </row>
    <row r="17" ht="21.75" customHeight="1">
      <c r="A17" s="9" t="s">
        <v>51</v>
      </c>
      <c r="B17" s="10" t="s">
        <v>52</v>
      </c>
      <c r="C17" s="10" t="s">
        <v>53</v>
      </c>
      <c r="D17" s="9" t="s">
        <v>54</v>
      </c>
      <c r="E17" s="16" t="s">
        <v>30</v>
      </c>
      <c r="F17" s="9">
        <v>45.0</v>
      </c>
      <c r="G17" s="5">
        <v>0.0</v>
      </c>
      <c r="H17" s="12">
        <f t="shared" si="1"/>
        <v>45</v>
      </c>
      <c r="I17" s="13">
        <f t="shared" si="2"/>
        <v>0</v>
      </c>
      <c r="J17" s="14" t="str">
        <f t="shared" si="3"/>
        <v>À FAIRE</v>
      </c>
    </row>
    <row r="18" ht="21.75" customHeight="1">
      <c r="A18" s="2" t="s">
        <v>51</v>
      </c>
      <c r="B18" s="3" t="s">
        <v>52</v>
      </c>
      <c r="C18" s="3" t="s">
        <v>55</v>
      </c>
      <c r="D18" s="2" t="s">
        <v>54</v>
      </c>
      <c r="E18" s="15" t="s">
        <v>30</v>
      </c>
      <c r="F18" s="2">
        <v>90.0</v>
      </c>
      <c r="G18" s="5">
        <v>0.0</v>
      </c>
      <c r="H18" s="6">
        <f t="shared" si="1"/>
        <v>90</v>
      </c>
      <c r="I18" s="7">
        <f t="shared" si="2"/>
        <v>0</v>
      </c>
      <c r="J18" s="8" t="str">
        <f t="shared" si="3"/>
        <v>À FAIRE</v>
      </c>
    </row>
    <row r="19" ht="21.75" customHeight="1">
      <c r="A19" s="9" t="s">
        <v>56</v>
      </c>
      <c r="B19" s="10" t="s">
        <v>57</v>
      </c>
      <c r="C19" s="10" t="s">
        <v>58</v>
      </c>
      <c r="D19" s="9" t="s">
        <v>17</v>
      </c>
      <c r="E19" s="11" t="s">
        <v>14</v>
      </c>
      <c r="F19" s="9">
        <v>40.0</v>
      </c>
      <c r="G19" s="5">
        <v>0.0</v>
      </c>
      <c r="H19" s="12">
        <f t="shared" si="1"/>
        <v>40</v>
      </c>
      <c r="I19" s="13">
        <f t="shared" si="2"/>
        <v>0</v>
      </c>
      <c r="J19" s="14" t="str">
        <f t="shared" si="3"/>
        <v>À FAIRE</v>
      </c>
    </row>
    <row r="20" ht="21.75" customHeight="1">
      <c r="A20" s="2" t="s">
        <v>56</v>
      </c>
      <c r="B20" s="3" t="s">
        <v>59</v>
      </c>
      <c r="C20" s="3" t="s">
        <v>60</v>
      </c>
      <c r="D20" s="2" t="s">
        <v>38</v>
      </c>
      <c r="E20" s="4" t="s">
        <v>14</v>
      </c>
      <c r="F20" s="2">
        <v>70.0</v>
      </c>
      <c r="G20" s="5">
        <v>0.0</v>
      </c>
      <c r="H20" s="6">
        <f t="shared" si="1"/>
        <v>70</v>
      </c>
      <c r="I20" s="7">
        <f t="shared" si="2"/>
        <v>0</v>
      </c>
      <c r="J20" s="8" t="str">
        <f t="shared" si="3"/>
        <v>À FAIRE</v>
      </c>
    </row>
    <row r="21" ht="21.75" customHeight="1">
      <c r="A21" s="9" t="s">
        <v>56</v>
      </c>
      <c r="B21" s="10" t="s">
        <v>61</v>
      </c>
      <c r="C21" s="10" t="s">
        <v>62</v>
      </c>
      <c r="D21" s="9" t="s">
        <v>13</v>
      </c>
      <c r="E21" s="11" t="s">
        <v>14</v>
      </c>
      <c r="F21" s="9">
        <v>15.0</v>
      </c>
      <c r="G21" s="5">
        <v>0.0</v>
      </c>
      <c r="H21" s="12">
        <f t="shared" si="1"/>
        <v>15</v>
      </c>
      <c r="I21" s="13">
        <f t="shared" si="2"/>
        <v>0</v>
      </c>
      <c r="J21" s="14" t="str">
        <f t="shared" si="3"/>
        <v>À FAIRE</v>
      </c>
    </row>
    <row r="22" ht="21.75" customHeight="1">
      <c r="A22" s="2" t="s">
        <v>63</v>
      </c>
      <c r="B22" s="3" t="s">
        <v>64</v>
      </c>
      <c r="C22" s="3" t="s">
        <v>65</v>
      </c>
      <c r="D22" s="2" t="s">
        <v>17</v>
      </c>
      <c r="E22" s="15" t="s">
        <v>30</v>
      </c>
      <c r="F22" s="2">
        <v>45.0</v>
      </c>
      <c r="G22" s="5">
        <v>0.0</v>
      </c>
      <c r="H22" s="6">
        <f t="shared" si="1"/>
        <v>45</v>
      </c>
      <c r="I22" s="7">
        <f t="shared" si="2"/>
        <v>0</v>
      </c>
      <c r="J22" s="8" t="str">
        <f t="shared" si="3"/>
        <v>À FAIRE</v>
      </c>
    </row>
    <row r="23" ht="21.75" customHeight="1">
      <c r="A23" s="9" t="s">
        <v>63</v>
      </c>
      <c r="B23" s="10" t="s">
        <v>66</v>
      </c>
      <c r="C23" s="10" t="s">
        <v>67</v>
      </c>
      <c r="D23" s="9" t="s">
        <v>26</v>
      </c>
      <c r="E23" s="16" t="s">
        <v>30</v>
      </c>
      <c r="F23" s="9">
        <v>60.0</v>
      </c>
      <c r="G23" s="5">
        <v>0.0</v>
      </c>
      <c r="H23" s="12">
        <f t="shared" si="1"/>
        <v>60</v>
      </c>
      <c r="I23" s="13">
        <f t="shared" si="2"/>
        <v>0</v>
      </c>
      <c r="J23" s="14" t="str">
        <f t="shared" si="3"/>
        <v>À FAIRE</v>
      </c>
    </row>
    <row r="24" ht="21.75" customHeight="1">
      <c r="A24" s="2" t="s">
        <v>63</v>
      </c>
      <c r="B24" s="3" t="s">
        <v>66</v>
      </c>
      <c r="C24" s="3" t="s">
        <v>68</v>
      </c>
      <c r="D24" s="2" t="s">
        <v>26</v>
      </c>
      <c r="E24" s="4" t="s">
        <v>14</v>
      </c>
      <c r="F24" s="2">
        <v>30.0</v>
      </c>
      <c r="G24" s="5">
        <v>0.0</v>
      </c>
      <c r="H24" s="6">
        <f t="shared" si="1"/>
        <v>30</v>
      </c>
      <c r="I24" s="7">
        <f t="shared" si="2"/>
        <v>0</v>
      </c>
      <c r="J24" s="8" t="str">
        <f t="shared" si="3"/>
        <v>À FAIRE</v>
      </c>
    </row>
    <row r="25" ht="21.75" customHeight="1">
      <c r="A25" s="9" t="s">
        <v>69</v>
      </c>
      <c r="B25" s="10" t="s">
        <v>70</v>
      </c>
      <c r="C25" s="10" t="s">
        <v>71</v>
      </c>
      <c r="D25" s="9" t="s">
        <v>17</v>
      </c>
      <c r="E25" s="18" t="s">
        <v>35</v>
      </c>
      <c r="F25" s="9">
        <v>55.0</v>
      </c>
      <c r="G25" s="5">
        <v>0.0</v>
      </c>
      <c r="H25" s="12">
        <f t="shared" si="1"/>
        <v>55</v>
      </c>
      <c r="I25" s="13">
        <f t="shared" si="2"/>
        <v>0</v>
      </c>
      <c r="J25" s="14" t="str">
        <f t="shared" si="3"/>
        <v>À FAIRE</v>
      </c>
    </row>
    <row r="26" ht="21.75" customHeight="1">
      <c r="A26" s="2" t="s">
        <v>69</v>
      </c>
      <c r="B26" s="3" t="s">
        <v>72</v>
      </c>
      <c r="C26" s="3" t="s">
        <v>73</v>
      </c>
      <c r="D26" s="2" t="s">
        <v>17</v>
      </c>
      <c r="E26" s="17" t="s">
        <v>35</v>
      </c>
      <c r="F26" s="2">
        <v>50.0</v>
      </c>
      <c r="G26" s="5">
        <v>0.0</v>
      </c>
      <c r="H26" s="6">
        <f t="shared" si="1"/>
        <v>50</v>
      </c>
      <c r="I26" s="7">
        <f t="shared" si="2"/>
        <v>0</v>
      </c>
      <c r="J26" s="8" t="str">
        <f t="shared" si="3"/>
        <v>À FAIRE</v>
      </c>
    </row>
    <row r="27" ht="21.75" customHeight="1">
      <c r="A27" s="9" t="s">
        <v>74</v>
      </c>
      <c r="B27" s="10" t="s">
        <v>75</v>
      </c>
      <c r="C27" s="10" t="s">
        <v>76</v>
      </c>
      <c r="D27" s="9" t="s">
        <v>17</v>
      </c>
      <c r="E27" s="16" t="s">
        <v>30</v>
      </c>
      <c r="F27" s="9">
        <v>50.0</v>
      </c>
      <c r="G27" s="5">
        <v>0.0</v>
      </c>
      <c r="H27" s="12">
        <f t="shared" si="1"/>
        <v>50</v>
      </c>
      <c r="I27" s="13">
        <f t="shared" si="2"/>
        <v>0</v>
      </c>
      <c r="J27" s="14" t="str">
        <f t="shared" si="3"/>
        <v>À FAIRE</v>
      </c>
    </row>
    <row r="28" ht="21.75" customHeight="1">
      <c r="A28" s="2" t="s">
        <v>74</v>
      </c>
      <c r="B28" s="3" t="s">
        <v>77</v>
      </c>
      <c r="C28" s="3" t="s">
        <v>78</v>
      </c>
      <c r="D28" s="2" t="s">
        <v>26</v>
      </c>
      <c r="E28" s="15" t="s">
        <v>30</v>
      </c>
      <c r="F28" s="2">
        <v>30.0</v>
      </c>
      <c r="G28" s="5">
        <v>0.0</v>
      </c>
      <c r="H28" s="6">
        <f t="shared" si="1"/>
        <v>30</v>
      </c>
      <c r="I28" s="7">
        <f t="shared" si="2"/>
        <v>0</v>
      </c>
      <c r="J28" s="8" t="str">
        <f t="shared" si="3"/>
        <v>À FAIRE</v>
      </c>
    </row>
    <row r="29" ht="21.75" customHeight="1">
      <c r="A29" s="9" t="s">
        <v>79</v>
      </c>
      <c r="B29" s="10" t="s">
        <v>80</v>
      </c>
      <c r="C29" s="10" t="s">
        <v>81</v>
      </c>
      <c r="D29" s="9" t="s">
        <v>17</v>
      </c>
      <c r="E29" s="18" t="s">
        <v>35</v>
      </c>
      <c r="F29" s="9">
        <v>80.0</v>
      </c>
      <c r="G29" s="5">
        <v>0.0</v>
      </c>
      <c r="H29" s="12">
        <f t="shared" si="1"/>
        <v>80</v>
      </c>
      <c r="I29" s="13">
        <f t="shared" si="2"/>
        <v>0</v>
      </c>
      <c r="J29" s="14" t="str">
        <f t="shared" si="3"/>
        <v>À FAIRE</v>
      </c>
    </row>
    <row r="30" ht="21.75" customHeight="1">
      <c r="A30" s="2" t="s">
        <v>79</v>
      </c>
      <c r="B30" s="3" t="s">
        <v>80</v>
      </c>
      <c r="C30" s="3" t="s">
        <v>82</v>
      </c>
      <c r="D30" s="2" t="s">
        <v>19</v>
      </c>
      <c r="E30" s="4" t="s">
        <v>14</v>
      </c>
      <c r="F30" s="2">
        <v>75.0</v>
      </c>
      <c r="G30" s="5">
        <v>0.0</v>
      </c>
      <c r="H30" s="6">
        <f t="shared" si="1"/>
        <v>75</v>
      </c>
      <c r="I30" s="7">
        <f t="shared" si="2"/>
        <v>0</v>
      </c>
      <c r="J30" s="8" t="str">
        <f t="shared" si="3"/>
        <v>À FAIRE</v>
      </c>
    </row>
    <row r="31" ht="21.75" customHeight="1">
      <c r="A31" s="9" t="s">
        <v>79</v>
      </c>
      <c r="B31" s="10" t="s">
        <v>80</v>
      </c>
      <c r="C31" s="10" t="s">
        <v>83</v>
      </c>
      <c r="D31" s="9" t="s">
        <v>19</v>
      </c>
      <c r="E31" s="16" t="s">
        <v>30</v>
      </c>
      <c r="F31" s="9">
        <v>60.0</v>
      </c>
      <c r="G31" s="5">
        <v>0.0</v>
      </c>
      <c r="H31" s="12">
        <f t="shared" si="1"/>
        <v>60</v>
      </c>
      <c r="I31" s="13">
        <f t="shared" si="2"/>
        <v>0</v>
      </c>
      <c r="J31" s="14" t="str">
        <f t="shared" si="3"/>
        <v>À FAIRE</v>
      </c>
    </row>
    <row r="32" ht="21.75" customHeight="1">
      <c r="A32" s="2" t="s">
        <v>79</v>
      </c>
      <c r="B32" s="3" t="s">
        <v>84</v>
      </c>
      <c r="C32" s="3" t="s">
        <v>85</v>
      </c>
      <c r="D32" s="2" t="s">
        <v>86</v>
      </c>
      <c r="E32" s="17" t="s">
        <v>35</v>
      </c>
      <c r="F32" s="2">
        <v>55.0</v>
      </c>
      <c r="G32" s="5">
        <v>0.0</v>
      </c>
      <c r="H32" s="6">
        <f t="shared" si="1"/>
        <v>55</v>
      </c>
      <c r="I32" s="7">
        <f t="shared" si="2"/>
        <v>0</v>
      </c>
      <c r="J32" s="8" t="str">
        <f t="shared" si="3"/>
        <v>À FAIRE</v>
      </c>
    </row>
    <row r="33" ht="21.75" customHeight="1">
      <c r="A33" s="9" t="s">
        <v>87</v>
      </c>
      <c r="B33" s="10" t="s">
        <v>88</v>
      </c>
      <c r="C33" s="10" t="s">
        <v>89</v>
      </c>
      <c r="D33" s="9" t="s">
        <v>13</v>
      </c>
      <c r="E33" s="11" t="s">
        <v>14</v>
      </c>
      <c r="F33" s="9">
        <v>20.0</v>
      </c>
      <c r="G33" s="5">
        <v>0.0</v>
      </c>
      <c r="H33" s="12">
        <f t="shared" si="1"/>
        <v>20</v>
      </c>
      <c r="I33" s="13">
        <f t="shared" si="2"/>
        <v>0</v>
      </c>
      <c r="J33" s="14" t="str">
        <f t="shared" si="3"/>
        <v>À FAIRE</v>
      </c>
    </row>
    <row r="34" ht="21.75" customHeight="1">
      <c r="A34" s="2" t="s">
        <v>87</v>
      </c>
      <c r="B34" s="3" t="s">
        <v>90</v>
      </c>
      <c r="C34" s="3" t="s">
        <v>91</v>
      </c>
      <c r="D34" s="2" t="s">
        <v>17</v>
      </c>
      <c r="E34" s="17" t="s">
        <v>35</v>
      </c>
      <c r="F34" s="2">
        <v>55.0</v>
      </c>
      <c r="G34" s="5">
        <v>0.0</v>
      </c>
      <c r="H34" s="6">
        <f t="shared" si="1"/>
        <v>55</v>
      </c>
      <c r="I34" s="7">
        <f t="shared" si="2"/>
        <v>0</v>
      </c>
      <c r="J34" s="8" t="str">
        <f t="shared" si="3"/>
        <v>À FAIRE</v>
      </c>
    </row>
    <row r="35" ht="21.75" customHeight="1">
      <c r="A35" s="9" t="s">
        <v>87</v>
      </c>
      <c r="B35" s="10" t="s">
        <v>92</v>
      </c>
      <c r="C35" s="10" t="s">
        <v>93</v>
      </c>
      <c r="D35" s="9" t="s">
        <v>17</v>
      </c>
      <c r="E35" s="16" t="s">
        <v>30</v>
      </c>
      <c r="F35" s="9">
        <v>65.0</v>
      </c>
      <c r="G35" s="5">
        <v>0.0</v>
      </c>
      <c r="H35" s="12">
        <f t="shared" si="1"/>
        <v>65</v>
      </c>
      <c r="I35" s="13">
        <f t="shared" si="2"/>
        <v>0</v>
      </c>
      <c r="J35" s="14" t="str">
        <f t="shared" si="3"/>
        <v>À FAIRE</v>
      </c>
    </row>
    <row r="36" ht="21.75" customHeight="1">
      <c r="A36" s="2" t="s">
        <v>87</v>
      </c>
      <c r="B36" s="3" t="s">
        <v>94</v>
      </c>
      <c r="C36" s="3" t="s">
        <v>95</v>
      </c>
      <c r="D36" s="2" t="s">
        <v>26</v>
      </c>
      <c r="E36" s="4" t="s">
        <v>14</v>
      </c>
      <c r="F36" s="2">
        <v>85.0</v>
      </c>
      <c r="G36" s="5">
        <v>0.0</v>
      </c>
      <c r="H36" s="6">
        <f t="shared" si="1"/>
        <v>85</v>
      </c>
      <c r="I36" s="7">
        <f t="shared" si="2"/>
        <v>0</v>
      </c>
      <c r="J36" s="8" t="str">
        <f t="shared" si="3"/>
        <v>À FAIRE</v>
      </c>
    </row>
    <row r="37" ht="21.75" customHeight="1">
      <c r="A37" s="9" t="s">
        <v>96</v>
      </c>
      <c r="B37" s="10" t="s">
        <v>97</v>
      </c>
      <c r="C37" s="10" t="s">
        <v>98</v>
      </c>
      <c r="D37" s="9" t="s">
        <v>13</v>
      </c>
      <c r="E37" s="16" t="s">
        <v>30</v>
      </c>
      <c r="F37" s="9">
        <v>15.0</v>
      </c>
      <c r="G37" s="5">
        <v>0.0</v>
      </c>
      <c r="H37" s="12">
        <f t="shared" si="1"/>
        <v>15</v>
      </c>
      <c r="I37" s="13">
        <f t="shared" si="2"/>
        <v>0</v>
      </c>
      <c r="J37" s="14" t="str">
        <f t="shared" si="3"/>
        <v>À FAIRE</v>
      </c>
    </row>
    <row r="38" ht="21.75" customHeight="1">
      <c r="A38" s="2" t="s">
        <v>96</v>
      </c>
      <c r="B38" s="3" t="s">
        <v>99</v>
      </c>
      <c r="C38" s="3" t="s">
        <v>100</v>
      </c>
      <c r="D38" s="2" t="s">
        <v>17</v>
      </c>
      <c r="E38" s="17" t="s">
        <v>35</v>
      </c>
      <c r="F38" s="2">
        <v>50.0</v>
      </c>
      <c r="G38" s="5">
        <v>0.0</v>
      </c>
      <c r="H38" s="6">
        <f t="shared" si="1"/>
        <v>50</v>
      </c>
      <c r="I38" s="7">
        <f t="shared" si="2"/>
        <v>0</v>
      </c>
      <c r="J38" s="8" t="str">
        <f t="shared" si="3"/>
        <v>À FAIRE</v>
      </c>
    </row>
    <row r="39" ht="21.75" customHeight="1">
      <c r="A39" s="9" t="s">
        <v>96</v>
      </c>
      <c r="B39" s="10" t="s">
        <v>101</v>
      </c>
      <c r="C39" s="10" t="s">
        <v>102</v>
      </c>
      <c r="D39" s="9" t="s">
        <v>17</v>
      </c>
      <c r="E39" s="18" t="s">
        <v>35</v>
      </c>
      <c r="F39" s="9">
        <v>40.0</v>
      </c>
      <c r="G39" s="5">
        <v>0.0</v>
      </c>
      <c r="H39" s="12">
        <f t="shared" si="1"/>
        <v>40</v>
      </c>
      <c r="I39" s="13">
        <f t="shared" si="2"/>
        <v>0</v>
      </c>
      <c r="J39" s="14" t="str">
        <f t="shared" si="3"/>
        <v>À FAIRE</v>
      </c>
    </row>
    <row r="40" ht="21.75" customHeight="1">
      <c r="A40" s="2" t="s">
        <v>96</v>
      </c>
      <c r="B40" s="3" t="s">
        <v>103</v>
      </c>
      <c r="C40" s="3" t="s">
        <v>104</v>
      </c>
      <c r="D40" s="2" t="s">
        <v>26</v>
      </c>
      <c r="E40" s="15" t="s">
        <v>30</v>
      </c>
      <c r="F40" s="2">
        <v>60.0</v>
      </c>
      <c r="G40" s="5">
        <v>0.0</v>
      </c>
      <c r="H40" s="6">
        <f t="shared" si="1"/>
        <v>60</v>
      </c>
      <c r="I40" s="7">
        <f t="shared" si="2"/>
        <v>0</v>
      </c>
      <c r="J40" s="8" t="str">
        <f t="shared" si="3"/>
        <v>À FAIRE</v>
      </c>
    </row>
    <row r="41" ht="21.75" customHeight="1">
      <c r="A41" s="9" t="s">
        <v>105</v>
      </c>
      <c r="B41" s="10" t="s">
        <v>106</v>
      </c>
      <c r="C41" s="10" t="s">
        <v>107</v>
      </c>
      <c r="D41" s="9" t="s">
        <v>17</v>
      </c>
      <c r="E41" s="11" t="s">
        <v>14</v>
      </c>
      <c r="F41" s="9">
        <v>40.0</v>
      </c>
      <c r="G41" s="5">
        <v>0.0</v>
      </c>
      <c r="H41" s="12">
        <f t="shared" si="1"/>
        <v>40</v>
      </c>
      <c r="I41" s="13">
        <f t="shared" si="2"/>
        <v>0</v>
      </c>
      <c r="J41" s="14" t="str">
        <f t="shared" si="3"/>
        <v>À FAIRE</v>
      </c>
    </row>
    <row r="42" ht="21.75" customHeight="1">
      <c r="A42" s="2" t="s">
        <v>105</v>
      </c>
      <c r="B42" s="3" t="s">
        <v>108</v>
      </c>
      <c r="C42" s="3" t="s">
        <v>109</v>
      </c>
      <c r="D42" s="2" t="s">
        <v>17</v>
      </c>
      <c r="E42" s="4" t="s">
        <v>14</v>
      </c>
      <c r="F42" s="2">
        <v>40.0</v>
      </c>
      <c r="G42" s="5">
        <v>0.0</v>
      </c>
      <c r="H42" s="6">
        <f t="shared" si="1"/>
        <v>40</v>
      </c>
      <c r="I42" s="7">
        <f t="shared" si="2"/>
        <v>0</v>
      </c>
      <c r="J42" s="8" t="str">
        <f t="shared" si="3"/>
        <v>À FAIRE</v>
      </c>
    </row>
    <row r="43" ht="21.75" customHeight="1">
      <c r="A43" s="9" t="s">
        <v>105</v>
      </c>
      <c r="B43" s="10" t="s">
        <v>110</v>
      </c>
      <c r="C43" s="10" t="s">
        <v>111</v>
      </c>
      <c r="D43" s="9" t="s">
        <v>26</v>
      </c>
      <c r="E43" s="11" t="s">
        <v>14</v>
      </c>
      <c r="F43" s="9">
        <v>70.0</v>
      </c>
      <c r="G43" s="5">
        <v>0.0</v>
      </c>
      <c r="H43" s="12">
        <f t="shared" si="1"/>
        <v>70</v>
      </c>
      <c r="I43" s="13">
        <f t="shared" si="2"/>
        <v>0</v>
      </c>
      <c r="J43" s="14" t="str">
        <f t="shared" si="3"/>
        <v>À FAIRE</v>
      </c>
    </row>
    <row r="44" ht="21.75" customHeight="1">
      <c r="A44" s="2" t="s">
        <v>112</v>
      </c>
      <c r="B44" s="3" t="s">
        <v>113</v>
      </c>
      <c r="C44" s="3" t="s">
        <v>114</v>
      </c>
      <c r="D44" s="2" t="s">
        <v>13</v>
      </c>
      <c r="E44" s="15" t="s">
        <v>30</v>
      </c>
      <c r="F44" s="2">
        <v>10.0</v>
      </c>
      <c r="G44" s="5">
        <v>0.0</v>
      </c>
      <c r="H44" s="6">
        <f t="shared" si="1"/>
        <v>10</v>
      </c>
      <c r="I44" s="7">
        <f t="shared" si="2"/>
        <v>0</v>
      </c>
      <c r="J44" s="8" t="str">
        <f t="shared" si="3"/>
        <v>À FAIRE</v>
      </c>
    </row>
    <row r="45" ht="21.75" customHeight="1">
      <c r="A45" s="9" t="s">
        <v>112</v>
      </c>
      <c r="B45" s="10" t="s">
        <v>115</v>
      </c>
      <c r="C45" s="10" t="s">
        <v>116</v>
      </c>
      <c r="D45" s="9" t="s">
        <v>17</v>
      </c>
      <c r="E45" s="18" t="s">
        <v>35</v>
      </c>
      <c r="F45" s="9">
        <v>50.0</v>
      </c>
      <c r="G45" s="5">
        <v>0.0</v>
      </c>
      <c r="H45" s="12">
        <f t="shared" si="1"/>
        <v>50</v>
      </c>
      <c r="I45" s="13">
        <f t="shared" si="2"/>
        <v>0</v>
      </c>
      <c r="J45" s="14" t="str">
        <f t="shared" si="3"/>
        <v>À FAIRE</v>
      </c>
    </row>
    <row r="46" ht="21.75" customHeight="1">
      <c r="A46" s="2" t="s">
        <v>112</v>
      </c>
      <c r="B46" s="3" t="s">
        <v>117</v>
      </c>
      <c r="C46" s="3" t="s">
        <v>118</v>
      </c>
      <c r="D46" s="2" t="s">
        <v>26</v>
      </c>
      <c r="E46" s="17" t="s">
        <v>35</v>
      </c>
      <c r="F46" s="2">
        <v>40.0</v>
      </c>
      <c r="G46" s="5">
        <v>0.0</v>
      </c>
      <c r="H46" s="6">
        <f t="shared" si="1"/>
        <v>40</v>
      </c>
      <c r="I46" s="7">
        <f t="shared" si="2"/>
        <v>0</v>
      </c>
      <c r="J46" s="8" t="str">
        <f t="shared" si="3"/>
        <v>À FAIRE</v>
      </c>
    </row>
    <row r="47" ht="21.75" customHeight="1">
      <c r="A47" s="9" t="s">
        <v>119</v>
      </c>
      <c r="B47" s="10" t="s">
        <v>120</v>
      </c>
      <c r="C47" s="10" t="s">
        <v>121</v>
      </c>
      <c r="D47" s="9" t="s">
        <v>13</v>
      </c>
      <c r="E47" s="11" t="s">
        <v>14</v>
      </c>
      <c r="F47" s="9">
        <v>45.0</v>
      </c>
      <c r="G47" s="5">
        <v>0.0</v>
      </c>
      <c r="H47" s="12">
        <f t="shared" si="1"/>
        <v>45</v>
      </c>
      <c r="I47" s="13">
        <f t="shared" si="2"/>
        <v>0</v>
      </c>
      <c r="J47" s="14" t="str">
        <f t="shared" si="3"/>
        <v>À FAIRE</v>
      </c>
    </row>
    <row r="48" ht="21.75" customHeight="1">
      <c r="A48" s="2" t="s">
        <v>119</v>
      </c>
      <c r="B48" s="3" t="s">
        <v>120</v>
      </c>
      <c r="C48" s="3" t="s">
        <v>122</v>
      </c>
      <c r="D48" s="2" t="s">
        <v>13</v>
      </c>
      <c r="E48" s="15" t="s">
        <v>30</v>
      </c>
      <c r="F48" s="2">
        <v>55.0</v>
      </c>
      <c r="G48" s="5">
        <v>0.0</v>
      </c>
      <c r="H48" s="6">
        <f t="shared" si="1"/>
        <v>55</v>
      </c>
      <c r="I48" s="7">
        <f t="shared" si="2"/>
        <v>0</v>
      </c>
      <c r="J48" s="8" t="str">
        <f t="shared" si="3"/>
        <v>À FAIRE</v>
      </c>
    </row>
    <row r="49" ht="21.75" customHeight="1">
      <c r="A49" s="9" t="s">
        <v>44</v>
      </c>
      <c r="B49" s="10" t="s">
        <v>47</v>
      </c>
      <c r="C49" s="10" t="s">
        <v>123</v>
      </c>
      <c r="D49" s="9" t="s">
        <v>26</v>
      </c>
      <c r="E49" s="11" t="s">
        <v>14</v>
      </c>
      <c r="F49" s="9">
        <v>55.0</v>
      </c>
      <c r="G49" s="5">
        <v>0.0</v>
      </c>
      <c r="H49" s="12">
        <f t="shared" si="1"/>
        <v>55</v>
      </c>
      <c r="I49" s="13">
        <f t="shared" si="2"/>
        <v>0</v>
      </c>
      <c r="J49" s="14" t="str">
        <f t="shared" si="3"/>
        <v>À FAIRE</v>
      </c>
    </row>
    <row r="50" ht="21.75" customHeight="1">
      <c r="A50" s="2" t="s">
        <v>124</v>
      </c>
      <c r="B50" s="3" t="s">
        <v>125</v>
      </c>
      <c r="C50" s="3" t="s">
        <v>126</v>
      </c>
      <c r="D50" s="2" t="s">
        <v>127</v>
      </c>
      <c r="E50" s="15" t="s">
        <v>30</v>
      </c>
      <c r="F50" s="2">
        <v>60.0</v>
      </c>
      <c r="G50" s="5">
        <v>0.0</v>
      </c>
      <c r="H50" s="6">
        <f t="shared" si="1"/>
        <v>60</v>
      </c>
      <c r="I50" s="7">
        <f t="shared" si="2"/>
        <v>0</v>
      </c>
      <c r="J50" s="8" t="str">
        <f t="shared" si="3"/>
        <v>À FAIRE</v>
      </c>
    </row>
    <row r="51" ht="21.75" customHeight="1">
      <c r="A51" s="9" t="s">
        <v>124</v>
      </c>
      <c r="B51" s="10" t="s">
        <v>125</v>
      </c>
      <c r="C51" s="10" t="s">
        <v>128</v>
      </c>
      <c r="D51" s="9" t="s">
        <v>127</v>
      </c>
      <c r="E51" s="18" t="s">
        <v>35</v>
      </c>
      <c r="F51" s="9">
        <v>50.0</v>
      </c>
      <c r="G51" s="5">
        <v>0.0</v>
      </c>
      <c r="H51" s="12">
        <f t="shared" si="1"/>
        <v>50</v>
      </c>
      <c r="I51" s="13">
        <f t="shared" si="2"/>
        <v>0</v>
      </c>
      <c r="J51" s="14" t="str">
        <f t="shared" si="3"/>
        <v>À FAIRE</v>
      </c>
    </row>
    <row r="52" ht="21.75" customHeight="1">
      <c r="A52" s="2" t="s">
        <v>124</v>
      </c>
      <c r="B52" s="3" t="s">
        <v>129</v>
      </c>
      <c r="C52" s="3" t="s">
        <v>130</v>
      </c>
      <c r="D52" s="2" t="s">
        <v>131</v>
      </c>
      <c r="E52" s="4" t="s">
        <v>14</v>
      </c>
      <c r="F52" s="2">
        <v>30.0</v>
      </c>
      <c r="G52" s="5">
        <v>0.0</v>
      </c>
      <c r="H52" s="6">
        <f t="shared" si="1"/>
        <v>30</v>
      </c>
      <c r="I52" s="7">
        <f t="shared" si="2"/>
        <v>0</v>
      </c>
      <c r="J52" s="8" t="str">
        <f t="shared" si="3"/>
        <v>À FAIRE</v>
      </c>
    </row>
    <row r="53" ht="21.75" customHeight="1">
      <c r="A53" s="9" t="s">
        <v>124</v>
      </c>
      <c r="B53" s="10" t="s">
        <v>132</v>
      </c>
      <c r="C53" s="10" t="s">
        <v>133</v>
      </c>
      <c r="D53" s="9" t="s">
        <v>131</v>
      </c>
      <c r="E53" s="11" t="s">
        <v>14</v>
      </c>
      <c r="F53" s="9">
        <v>25.0</v>
      </c>
      <c r="G53" s="5">
        <v>0.0</v>
      </c>
      <c r="H53" s="12">
        <f t="shared" si="1"/>
        <v>25</v>
      </c>
      <c r="I53" s="13">
        <f t="shared" si="2"/>
        <v>0</v>
      </c>
      <c r="J53" s="14" t="str">
        <f t="shared" si="3"/>
        <v>À FAIRE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53">
    <cfRule type="cellIs" dxfId="0" priority="1" operator="equal">
      <formula>"OK"</formula>
    </cfRule>
  </conditionalFormatting>
  <conditionalFormatting sqref="J2:J53">
    <cfRule type="cellIs" dxfId="1" priority="2" operator="equal">
      <formula>"EN COURS"</formula>
    </cfRule>
  </conditionalFormatting>
  <conditionalFormatting sqref="J2:J53">
    <cfRule type="cellIs" dxfId="2" priority="3" operator="equal">
      <formula>"À FAIRE"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4" width="20.0"/>
    <col customWidth="1" min="5" max="5" width="15.0"/>
    <col customWidth="1" min="6" max="6" width="14.0"/>
    <col customWidth="1" min="7" max="7" width="16.0"/>
    <col customWidth="1" min="8" max="26" width="8.71"/>
  </cols>
  <sheetData>
    <row r="1" ht="30.0" customHeight="1">
      <c r="A1" s="19" t="s">
        <v>134</v>
      </c>
      <c r="B1" s="20"/>
      <c r="C1" s="20"/>
      <c r="D1" s="20"/>
      <c r="E1" s="20"/>
      <c r="F1" s="21"/>
    </row>
    <row r="2" ht="30.0" customHeight="1">
      <c r="A2" s="22" t="s">
        <v>135</v>
      </c>
      <c r="B2" s="22" t="s">
        <v>136</v>
      </c>
      <c r="C2" s="22" t="s">
        <v>137</v>
      </c>
      <c r="D2" s="22" t="s">
        <v>138</v>
      </c>
      <c r="E2" s="22" t="s">
        <v>139</v>
      </c>
      <c r="F2" s="22" t="s">
        <v>140</v>
      </c>
    </row>
    <row r="3" ht="21.75" customHeight="1">
      <c r="A3" s="23">
        <f>SUM(' TODO'!F2:F53)</f>
        <v>2680</v>
      </c>
      <c r="B3" s="24">
        <f>SUM(' TODO'!G2:G53)</f>
        <v>0</v>
      </c>
      <c r="C3" s="25">
        <f>SUM(' TODO'!H2:H53)</f>
        <v>2680</v>
      </c>
      <c r="D3" s="26">
        <f>IFERROR(C3/B3,0)</f>
        <v>0</v>
      </c>
      <c r="E3" s="27">
        <f>COUNTA(' TODO'!A2:A53)</f>
        <v>52</v>
      </c>
      <c r="F3" s="24">
        <f>COUNTIF(' TODO'!J2:J53,"OK")</f>
        <v>0</v>
      </c>
    </row>
    <row r="5" ht="25.5" customHeight="1">
      <c r="A5" s="28" t="s">
        <v>141</v>
      </c>
      <c r="B5" s="20"/>
      <c r="C5" s="20"/>
      <c r="D5" s="20"/>
      <c r="E5" s="20"/>
      <c r="F5" s="20"/>
      <c r="G5" s="21"/>
    </row>
    <row r="6" ht="27.75" customHeight="1">
      <c r="A6" s="22" t="s">
        <v>142</v>
      </c>
      <c r="B6" s="22" t="s">
        <v>139</v>
      </c>
      <c r="C6" s="22" t="s">
        <v>5</v>
      </c>
      <c r="D6" s="22" t="s">
        <v>6</v>
      </c>
      <c r="E6" s="22" t="s">
        <v>143</v>
      </c>
      <c r="F6" s="22" t="s">
        <v>8</v>
      </c>
      <c r="G6" s="22" t="s">
        <v>144</v>
      </c>
    </row>
    <row r="7" ht="21.75" customHeight="1">
      <c r="A7" s="29" t="s">
        <v>14</v>
      </c>
      <c r="B7" s="30">
        <f>COUNTIF(' TODO'!E2:E53,"Steeven")</f>
        <v>20</v>
      </c>
      <c r="C7" s="30">
        <f>SUMIF(' TODO'!E2:E53,"Steeven",' TODO'!F2:F53)</f>
        <v>950</v>
      </c>
      <c r="D7" s="30">
        <f>SUMIF(' TODO'!E2:E53,"Steeven",' TODO'!G2:G53)</f>
        <v>0</v>
      </c>
      <c r="E7" s="30">
        <f>SUMIF(' TODO'!E2:E53,"Steeven",' TODO'!H2:H53)</f>
        <v>950</v>
      </c>
      <c r="F7" s="31">
        <f t="shared" ref="F7:F10" si="1">IFERROR(D7/C7,0)</f>
        <v>0</v>
      </c>
      <c r="G7" s="30">
        <f>SUMPRODUCT((' TODO'!E2:E53="Steeven")*(' TODO'!J2:J53="OK"))</f>
        <v>0</v>
      </c>
    </row>
    <row r="8" ht="21.75" customHeight="1">
      <c r="A8" s="32" t="s">
        <v>30</v>
      </c>
      <c r="B8" s="33">
        <f>COUNTIF(' TODO'!E2:E53,"Mihaja")</f>
        <v>17</v>
      </c>
      <c r="C8" s="33">
        <f>SUMIF(' TODO'!E2:E53,"Mihaja",' TODO'!F2:F53)</f>
        <v>845</v>
      </c>
      <c r="D8" s="33">
        <f>SUMIF(' TODO'!E2:E53,"Mihaja",' TODO'!G2:G53)</f>
        <v>0</v>
      </c>
      <c r="E8" s="33">
        <f>SUMIF(' TODO'!E2:E53,"Mihaja",' TODO'!H2:H53)</f>
        <v>845</v>
      </c>
      <c r="F8" s="34">
        <f t="shared" si="1"/>
        <v>0</v>
      </c>
      <c r="G8" s="33">
        <f>SUMPRODUCT((' TODO'!E2:E53="Mihaja")*(' TODO'!J2:J53="OK"))</f>
        <v>0</v>
      </c>
    </row>
    <row r="9" ht="21.75" customHeight="1">
      <c r="A9" s="35" t="s">
        <v>35</v>
      </c>
      <c r="B9" s="30">
        <f>COUNTIF(' TODO'!E2:E53,"Aina")</f>
        <v>15</v>
      </c>
      <c r="C9" s="30">
        <f>SUMIF(' TODO'!E2:E53,"Aina",' TODO'!F2:F53)</f>
        <v>885</v>
      </c>
      <c r="D9" s="30">
        <f>SUMIF(' TODO'!E2:E53,"Aina",' TODO'!G2:G53)</f>
        <v>0</v>
      </c>
      <c r="E9" s="30">
        <f>SUMIF(' TODO'!E2:E53,"Aina",' TODO'!H2:H53)</f>
        <v>885</v>
      </c>
      <c r="F9" s="36">
        <f t="shared" si="1"/>
        <v>0</v>
      </c>
      <c r="G9" s="30">
        <f>SUMPRODUCT((' TODO'!E2:E53="Aina")*(' TODO'!J2:J53="OK"))</f>
        <v>0</v>
      </c>
    </row>
    <row r="10" ht="21.75" customHeight="1">
      <c r="A10" s="37" t="s">
        <v>145</v>
      </c>
      <c r="B10" s="38">
        <f t="shared" ref="B10:E10" si="2">SUM(B7:B9)</f>
        <v>52</v>
      </c>
      <c r="C10" s="38">
        <f t="shared" si="2"/>
        <v>2680</v>
      </c>
      <c r="D10" s="38">
        <f t="shared" si="2"/>
        <v>0</v>
      </c>
      <c r="E10" s="38">
        <f t="shared" si="2"/>
        <v>2680</v>
      </c>
      <c r="F10" s="39">
        <f t="shared" si="1"/>
        <v>0</v>
      </c>
      <c r="G10" s="38">
        <f>SUM(G7:G9)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5:G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5" width="16.0"/>
    <col customWidth="1" min="6" max="26" width="8.71"/>
  </cols>
  <sheetData>
    <row r="1" ht="27.75" customHeight="1">
      <c r="A1" s="28" t="s">
        <v>146</v>
      </c>
      <c r="B1" s="20"/>
      <c r="C1" s="20"/>
      <c r="D1" s="20"/>
      <c r="E1" s="21"/>
    </row>
    <row r="2" ht="27.75" customHeight="1">
      <c r="A2" s="22" t="s">
        <v>147</v>
      </c>
      <c r="B2" s="22" t="s">
        <v>14</v>
      </c>
      <c r="C2" s="22" t="s">
        <v>30</v>
      </c>
      <c r="D2" s="22" t="s">
        <v>35</v>
      </c>
      <c r="E2" s="22" t="s">
        <v>148</v>
      </c>
    </row>
    <row r="3" ht="19.5" customHeight="1">
      <c r="A3" s="40" t="s">
        <v>10</v>
      </c>
      <c r="B3" s="41">
        <f>SUMPRODUCT((' TODO'!A2:A53="INSCRIPTION")*(' TODO'!E2:E53="Steeven")*(' TODO'!F2:F53))</f>
        <v>310</v>
      </c>
      <c r="C3" s="42">
        <f>SUMPRODUCT((' TODO'!A2:A53="INSCRIPTION")*(' TODO'!E2:E53="Mihaja")*(' TODO'!F2:F53))</f>
        <v>0</v>
      </c>
      <c r="D3" s="43">
        <f>SUMPRODUCT((' TODO'!A2:A53="INSCRIPTION")*(' TODO'!E2:E53="Aina")*(' TODO'!F2:F53))</f>
        <v>0</v>
      </c>
      <c r="E3" s="44">
        <f t="shared" ref="E3:E19" si="1">SUM(B3:D3)</f>
        <v>310</v>
      </c>
    </row>
    <row r="4" ht="19.5" customHeight="1">
      <c r="A4" s="45" t="s">
        <v>27</v>
      </c>
      <c r="B4" s="46">
        <f>SUMPRODUCT((' TODO'!A2:A53="LOGIN")*(' TODO'!E2:E53="Steeven")*(' TODO'!F2:F53))</f>
        <v>0</v>
      </c>
      <c r="C4" s="47">
        <f>SUMPRODUCT((' TODO'!A2:A53="LOGIN")*(' TODO'!E2:E53="Mihaja")*(' TODO'!F2:F53))</f>
        <v>110</v>
      </c>
      <c r="D4" s="48">
        <f>SUMPRODUCT((' TODO'!A2:A53="LOGIN")*(' TODO'!E2:E53="Aina")*(' TODO'!F2:F53))</f>
        <v>0</v>
      </c>
      <c r="E4" s="27">
        <f t="shared" si="1"/>
        <v>110</v>
      </c>
    </row>
    <row r="5" ht="19.5" customHeight="1">
      <c r="A5" s="40" t="s">
        <v>32</v>
      </c>
      <c r="B5" s="41">
        <f>SUMPRODUCT((' TODO'!A2:A53="PROFIL")*(' TODO'!E2:E53="Steeven")*(' TODO'!F2:F53))</f>
        <v>0</v>
      </c>
      <c r="C5" s="42">
        <f>SUMPRODUCT((' TODO'!A2:A53="PROFIL")*(' TODO'!E2:E53="Mihaja")*(' TODO'!F2:F53))</f>
        <v>0</v>
      </c>
      <c r="D5" s="43">
        <f>SUMPRODUCT((' TODO'!A2:A53="PROFIL")*(' TODO'!E2:E53="Aina")*(' TODO'!F2:F53))</f>
        <v>120</v>
      </c>
      <c r="E5" s="44">
        <f t="shared" si="1"/>
        <v>120</v>
      </c>
    </row>
    <row r="6" ht="19.5" customHeight="1">
      <c r="A6" s="45" t="s">
        <v>39</v>
      </c>
      <c r="B6" s="46">
        <f>SUMPRODUCT((' TODO'!A2:A53="OBJECTIF")*(' TODO'!E2:E53="Steeven")*(' TODO'!F2:F53))</f>
        <v>0</v>
      </c>
      <c r="C6" s="47">
        <f>SUMPRODUCT((' TODO'!A2:A53="OBJECTIF")*(' TODO'!E2:E53="Mihaja")*(' TODO'!F2:F53))</f>
        <v>90</v>
      </c>
      <c r="D6" s="48">
        <f>SUMPRODUCT((' TODO'!A2:A53="OBJECTIF")*(' TODO'!E2:E53="Aina")*(' TODO'!F2:F53))</f>
        <v>0</v>
      </c>
      <c r="E6" s="27">
        <f t="shared" si="1"/>
        <v>90</v>
      </c>
    </row>
    <row r="7" ht="19.5" customHeight="1">
      <c r="A7" s="40" t="s">
        <v>44</v>
      </c>
      <c r="B7" s="41">
        <f>SUMPRODUCT((' TODO'!A2:A53="SUGGESTION")*(' TODO'!E2:E53="Steeven")*(' TODO'!F2:F53))</f>
        <v>55</v>
      </c>
      <c r="C7" s="42">
        <f>SUMPRODUCT((' TODO'!A2:A53="SUGGESTION")*(' TODO'!E2:E53="Mihaja")*(' TODO'!F2:F53))</f>
        <v>0</v>
      </c>
      <c r="D7" s="43">
        <f>SUMPRODUCT((' TODO'!A2:A53="SUGGESTION")*(' TODO'!E2:E53="Aina")*(' TODO'!F2:F53))</f>
        <v>240</v>
      </c>
      <c r="E7" s="44">
        <f t="shared" si="1"/>
        <v>295</v>
      </c>
    </row>
    <row r="8" ht="19.5" customHeight="1">
      <c r="A8" s="45" t="s">
        <v>51</v>
      </c>
      <c r="B8" s="46">
        <f>SUMPRODUCT((' TODO'!A2:A53="EXPORT PDF")*(' TODO'!E2:E53="Steeven")*(' TODO'!F2:F53))</f>
        <v>0</v>
      </c>
      <c r="C8" s="47">
        <f>SUMPRODUCT((' TODO'!A2:A53="EXPORT PDF")*(' TODO'!E2:E53="Mihaja")*(' TODO'!F2:F53))</f>
        <v>135</v>
      </c>
      <c r="D8" s="48">
        <f>SUMPRODUCT((' TODO'!A2:A53="EXPORT PDF")*(' TODO'!E2:E53="Aina")*(' TODO'!F2:F53))</f>
        <v>0</v>
      </c>
      <c r="E8" s="27">
        <f t="shared" si="1"/>
        <v>135</v>
      </c>
    </row>
    <row r="9" ht="19.5" customHeight="1">
      <c r="A9" s="40" t="s">
        <v>56</v>
      </c>
      <c r="B9" s="41">
        <f>SUMPRODUCT((' TODO'!A2:A53="PORTE MONNAIE")*(' TODO'!E2:E53="Steeven")*(' TODO'!F2:F53))</f>
        <v>125</v>
      </c>
      <c r="C9" s="42">
        <f>SUMPRODUCT((' TODO'!A2:A53="PORTE MONNAIE")*(' TODO'!E2:E53="Mihaja")*(' TODO'!F2:F53))</f>
        <v>0</v>
      </c>
      <c r="D9" s="43">
        <f>SUMPRODUCT((' TODO'!A2:A53="PORTE MONNAIE")*(' TODO'!E2:E53="Aina")*(' TODO'!F2:F53))</f>
        <v>0</v>
      </c>
      <c r="E9" s="44">
        <f t="shared" si="1"/>
        <v>125</v>
      </c>
    </row>
    <row r="10" ht="19.5" customHeight="1">
      <c r="A10" s="45" t="s">
        <v>63</v>
      </c>
      <c r="B10" s="46">
        <f>SUMPRODUCT((' TODO'!A2:A53="OPTION GOLD")*(' TODO'!E2:E53="Steeven")*(' TODO'!F2:F53))</f>
        <v>30</v>
      </c>
      <c r="C10" s="47">
        <f>SUMPRODUCT((' TODO'!A2:A53="OPTION GOLD")*(' TODO'!E2:E53="Mihaja")*(' TODO'!F2:F53))</f>
        <v>105</v>
      </c>
      <c r="D10" s="48">
        <f>SUMPRODUCT((' TODO'!A2:A53="OPTION GOLD")*(' TODO'!E2:E53="Aina")*(' TODO'!F2:F53))</f>
        <v>0</v>
      </c>
      <c r="E10" s="27">
        <f t="shared" si="1"/>
        <v>135</v>
      </c>
    </row>
    <row r="11" ht="19.5" customHeight="1">
      <c r="A11" s="40" t="s">
        <v>69</v>
      </c>
      <c r="B11" s="41">
        <f>SUMPRODUCT((' TODO'!A2:A53="NAVIGATION")*(' TODO'!E2:E53="Steeven")*(' TODO'!F2:F53))</f>
        <v>0</v>
      </c>
      <c r="C11" s="42">
        <f>SUMPRODUCT((' TODO'!A2:A53="NAVIGATION")*(' TODO'!E2:E53="Mihaja")*(' TODO'!F2:F53))</f>
        <v>0</v>
      </c>
      <c r="D11" s="43">
        <f>SUMPRODUCT((' TODO'!A2:A53="NAVIGATION")*(' TODO'!E2:E53="Aina")*(' TODO'!F2:F53))</f>
        <v>105</v>
      </c>
      <c r="E11" s="44">
        <f t="shared" si="1"/>
        <v>105</v>
      </c>
    </row>
    <row r="12" ht="19.5" customHeight="1">
      <c r="A12" s="45" t="s">
        <v>74</v>
      </c>
      <c r="B12" s="46">
        <f>SUMPRODUCT((' TODO'!A2:A53="BO LOGIN")*(' TODO'!E2:E53="Steeven")*(' TODO'!F2:F53))</f>
        <v>0</v>
      </c>
      <c r="C12" s="47">
        <f>SUMPRODUCT((' TODO'!A2:A53="BO LOGIN")*(' TODO'!E2:E53="Mihaja")*(' TODO'!F2:F53))</f>
        <v>80</v>
      </c>
      <c r="D12" s="48">
        <f>SUMPRODUCT((' TODO'!A2:A53="BO LOGIN")*(' TODO'!E2:E53="Aina")*(' TODO'!F2:F53))</f>
        <v>0</v>
      </c>
      <c r="E12" s="27">
        <f t="shared" si="1"/>
        <v>80</v>
      </c>
    </row>
    <row r="13" ht="19.5" customHeight="1">
      <c r="A13" s="40" t="s">
        <v>79</v>
      </c>
      <c r="B13" s="41">
        <f>SUMPRODUCT((' TODO'!A2:A53="BO DASHBOARD")*(' TODO'!E2:E53="Steeven")*(' TODO'!F2:F53))</f>
        <v>75</v>
      </c>
      <c r="C13" s="42">
        <f>SUMPRODUCT((' TODO'!A2:A53="BO DASHBOARD")*(' TODO'!E2:E53="Mihaja")*(' TODO'!F2:F53))</f>
        <v>60</v>
      </c>
      <c r="D13" s="43">
        <f>SUMPRODUCT((' TODO'!A2:A53="BO DASHBOARD")*(' TODO'!E2:E53="Aina")*(' TODO'!F2:F53))</f>
        <v>135</v>
      </c>
      <c r="E13" s="44">
        <f t="shared" si="1"/>
        <v>270</v>
      </c>
    </row>
    <row r="14" ht="19.5" customHeight="1">
      <c r="A14" s="45" t="s">
        <v>87</v>
      </c>
      <c r="B14" s="46">
        <f>SUMPRODUCT((' TODO'!A2:A53="BO RÉGIMES")*(' TODO'!E2:E53="Steeven")*(' TODO'!F2:F53))</f>
        <v>105</v>
      </c>
      <c r="C14" s="47">
        <f>SUMPRODUCT((' TODO'!A2:A53="BO RÉGIMES")*(' TODO'!E2:E53="Mihaja")*(' TODO'!F2:F53))</f>
        <v>65</v>
      </c>
      <c r="D14" s="48">
        <f>SUMPRODUCT((' TODO'!A2:A53="BO RÉGIMES")*(' TODO'!E2:E53="Aina")*(' TODO'!F2:F53))</f>
        <v>55</v>
      </c>
      <c r="E14" s="27">
        <f t="shared" si="1"/>
        <v>225</v>
      </c>
    </row>
    <row r="15" ht="19.5" customHeight="1">
      <c r="A15" s="40" t="s">
        <v>96</v>
      </c>
      <c r="B15" s="41">
        <f>SUMPRODUCT((' TODO'!A2:A53="BO ACTIVITÉS")*(' TODO'!E2:E53="Steeven")*(' TODO'!F2:F53))</f>
        <v>0</v>
      </c>
      <c r="C15" s="42">
        <f>SUMPRODUCT((' TODO'!A2:A53="BO ACTIVITÉS")*(' TODO'!E2:E53="Mihaja")*(' TODO'!F2:F53))</f>
        <v>75</v>
      </c>
      <c r="D15" s="43">
        <f>SUMPRODUCT((' TODO'!A2:A53="BO ACTIVITÉS")*(' TODO'!E2:E53="Aina")*(' TODO'!F2:F53))</f>
        <v>90</v>
      </c>
      <c r="E15" s="44">
        <f t="shared" si="1"/>
        <v>165</v>
      </c>
    </row>
    <row r="16" ht="19.5" customHeight="1">
      <c r="A16" s="45" t="s">
        <v>105</v>
      </c>
      <c r="B16" s="46">
        <f>SUMPRODUCT((' TODO'!A2:A53="BO CODES")*(' TODO'!E2:E53="Steeven")*(' TODO'!F2:F53))</f>
        <v>150</v>
      </c>
      <c r="C16" s="47">
        <f>SUMPRODUCT((' TODO'!A2:A53="BO CODES")*(' TODO'!E2:E53="Mihaja")*(' TODO'!F2:F53))</f>
        <v>0</v>
      </c>
      <c r="D16" s="48">
        <f>SUMPRODUCT((' TODO'!A2:A53="BO CODES")*(' TODO'!E2:E53="Aina")*(' TODO'!F2:F53))</f>
        <v>0</v>
      </c>
      <c r="E16" s="27">
        <f t="shared" si="1"/>
        <v>150</v>
      </c>
    </row>
    <row r="17" ht="19.5" customHeight="1">
      <c r="A17" s="40" t="s">
        <v>112</v>
      </c>
      <c r="B17" s="41">
        <f>SUMPRODUCT((' TODO'!A2:A53="BO PARAMÈTRES")*(' TODO'!E2:E53="Steeven")*(' TODO'!F2:F53))</f>
        <v>0</v>
      </c>
      <c r="C17" s="42">
        <f>SUMPRODUCT((' TODO'!A2:A53="BO PARAMÈTRES")*(' TODO'!E2:E53="Mihaja")*(' TODO'!F2:F53))</f>
        <v>10</v>
      </c>
      <c r="D17" s="43">
        <f>SUMPRODUCT((' TODO'!A2:A53="BO PARAMÈTRES")*(' TODO'!E2:E53="Aina")*(' TODO'!F2:F53))</f>
        <v>90</v>
      </c>
      <c r="E17" s="44">
        <f t="shared" si="1"/>
        <v>100</v>
      </c>
    </row>
    <row r="18" ht="19.5" customHeight="1">
      <c r="A18" s="45" t="s">
        <v>119</v>
      </c>
      <c r="B18" s="46">
        <f>SUMPRODUCT((' TODO'!A2:A53="BASE DE DONNÉES")*(' TODO'!E2:E53="Steeven")*(' TODO'!F2:F53))</f>
        <v>45</v>
      </c>
      <c r="C18" s="47">
        <f>SUMPRODUCT((' TODO'!A2:A53="BASE DE DONNÉES")*(' TODO'!E2:E53="Mihaja")*(' TODO'!F2:F53))</f>
        <v>55</v>
      </c>
      <c r="D18" s="48">
        <f>SUMPRODUCT((' TODO'!A2:A53="BASE DE DONNÉES")*(' TODO'!E2:E53="Aina")*(' TODO'!F2:F53))</f>
        <v>0</v>
      </c>
      <c r="E18" s="27">
        <f t="shared" si="1"/>
        <v>100</v>
      </c>
    </row>
    <row r="19" ht="19.5" customHeight="1">
      <c r="A19" s="40" t="s">
        <v>124</v>
      </c>
      <c r="B19" s="41">
        <f>SUMPRODUCT((' TODO'!A2:A53="TESTS &amp; LIVRAISON")*(' TODO'!E2:E53="Steeven")*(' TODO'!F2:F53))</f>
        <v>55</v>
      </c>
      <c r="C19" s="42">
        <f>SUMPRODUCT((' TODO'!A2:A53="TESTS &amp; LIVRAISON")*(' TODO'!E2:E53="Mihaja")*(' TODO'!F2:F53))</f>
        <v>60</v>
      </c>
      <c r="D19" s="43">
        <f>SUMPRODUCT((' TODO'!A2:A53="TESTS &amp; LIVRAISON")*(' TODO'!E2:E53="Aina")*(' TODO'!F2:F53))</f>
        <v>50</v>
      </c>
      <c r="E19" s="44">
        <f t="shared" si="1"/>
        <v>165</v>
      </c>
    </row>
    <row r="20" ht="21.75" customHeight="1">
      <c r="A20" s="37" t="s">
        <v>148</v>
      </c>
      <c r="B20" s="38">
        <f t="shared" ref="B20:E20" si="2">SUM(B3:B19)</f>
        <v>950</v>
      </c>
      <c r="C20" s="38">
        <f t="shared" si="2"/>
        <v>845</v>
      </c>
      <c r="D20" s="38">
        <f t="shared" si="2"/>
        <v>885</v>
      </c>
      <c r="E20" s="38">
        <f t="shared" si="2"/>
        <v>2680</v>
      </c>
    </row>
    <row r="21" ht="15.75" customHeight="1"/>
    <row r="22" ht="25.5" customHeight="1">
      <c r="A22" s="28" t="s">
        <v>149</v>
      </c>
      <c r="B22" s="20"/>
      <c r="C22" s="20"/>
      <c r="D22" s="20"/>
      <c r="E22" s="21"/>
    </row>
    <row r="23" ht="27.75" customHeight="1">
      <c r="A23" s="22" t="s">
        <v>142</v>
      </c>
      <c r="B23" s="22" t="s">
        <v>150</v>
      </c>
      <c r="C23" s="22" t="s">
        <v>151</v>
      </c>
      <c r="D23" s="22" t="s">
        <v>152</v>
      </c>
      <c r="E23" s="22" t="s">
        <v>145</v>
      </c>
    </row>
    <row r="24" ht="19.5" customHeight="1">
      <c r="A24" s="23" t="s">
        <v>14</v>
      </c>
      <c r="B24" s="6">
        <f>SUMPRODUCT((' TODO'!E2:E53="Steeven")*(' TODO'!J2:J53="À FAIRE"))</f>
        <v>20</v>
      </c>
      <c r="C24" s="6">
        <f>SUMPRODUCT((' TODO'!E2:E53="Steeven")*(' TODO'!J2:J53="EN COURS"))</f>
        <v>0</v>
      </c>
      <c r="D24" s="6">
        <f>SUMPRODUCT((' TODO'!E2:E53="Steeven")*(' TODO'!J2:J53="OK"))</f>
        <v>0</v>
      </c>
      <c r="E24" s="8">
        <f t="shared" ref="E24:E26" si="3">SUM(B24:D24)</f>
        <v>20</v>
      </c>
    </row>
    <row r="25" ht="19.5" customHeight="1">
      <c r="A25" s="49" t="s">
        <v>30</v>
      </c>
      <c r="B25" s="12">
        <f>SUMPRODUCT((' TODO'!E2:E53="Mihaja")*(' TODO'!J2:J53="À FAIRE"))</f>
        <v>17</v>
      </c>
      <c r="C25" s="12">
        <f>SUMPRODUCT((' TODO'!E2:E53="Mihaja")*(' TODO'!J2:J53="EN COURS"))</f>
        <v>0</v>
      </c>
      <c r="D25" s="12">
        <f>SUMPRODUCT((' TODO'!E2:E53="Mihaja")*(' TODO'!J2:J53="OK"))</f>
        <v>0</v>
      </c>
      <c r="E25" s="14">
        <f t="shared" si="3"/>
        <v>17</v>
      </c>
    </row>
    <row r="26" ht="19.5" customHeight="1">
      <c r="A26" s="50" t="s">
        <v>35</v>
      </c>
      <c r="B26" s="6">
        <f>SUMPRODUCT((' TODO'!E2:E53="Aina")*(' TODO'!J2:J53="À FAIRE"))</f>
        <v>15</v>
      </c>
      <c r="C26" s="6">
        <f>SUMPRODUCT((' TODO'!E2:E53="Aina")*(' TODO'!J2:J53="EN COURS"))</f>
        <v>0</v>
      </c>
      <c r="D26" s="6">
        <f>SUMPRODUCT((' TODO'!E2:E53="Aina")*(' TODO'!J2:J53="OK"))</f>
        <v>0</v>
      </c>
      <c r="E26" s="8">
        <f t="shared" si="3"/>
        <v>15</v>
      </c>
    </row>
    <row r="27" ht="21.75" customHeight="1">
      <c r="A27" s="37" t="s">
        <v>145</v>
      </c>
      <c r="B27" s="38">
        <f t="shared" ref="B27:E27" si="4">SUM(B24:B26)</f>
        <v>52</v>
      </c>
      <c r="C27" s="38">
        <f t="shared" si="4"/>
        <v>0</v>
      </c>
      <c r="D27" s="38">
        <f t="shared" si="4"/>
        <v>0</v>
      </c>
      <c r="E27" s="38">
        <f t="shared" si="4"/>
        <v>52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2:E22"/>
  </mergeCells>
  <printOptions/>
  <pageMargins bottom="1.0" footer="0.0" header="0.0" left="0.75" right="0.75" top="1.0"/>
  <pageSetup paperSize="9" orientation="portrait"/>
  <drawing r:id="rId1"/>
</worksheet>
</file>